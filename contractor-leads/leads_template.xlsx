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eads" displayName="Leads" ref="A1:T4" headerRowCount="1">
  <autoFilter ref="A1:T4"/>
  <tableColumns count="20">
    <tableColumn id="1" name="Company Name"/>
    <tableColumn id="2" name="Address"/>
    <tableColumn id="3" name="County"/>
    <tableColumn id="4" name="Category"/>
    <tableColumn id="5" name="Phone"/>
    <tableColumn id="6" name="Primary Contact"/>
    <tableColumn id="7" name="Facebook"/>
    <tableColumn id="8" name="Instagram"/>
    <tableColumn id="9" name="LinkedIn"/>
    <tableColumn id="10" name="Other Socials"/>
    <tableColumn id="11" name="Website"/>
    <tableColumn id="12" name="Email(s)"/>
    <tableColumn id="13" name="Google Maps"/>
    <tableColumn id="14" name="Rating"/>
    <tableColumn id="15" name="Reviews"/>
    <tableColumn id="16" name="Status"/>
    <tableColumn id="17" name="Outreach Sent?"/>
    <tableColumn id="18" name="Response?"/>
    <tableColumn id="19" name="Notes"/>
    <tableColumn id="20" name="Enrichment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0" customWidth="1" min="2" max="2"/>
    <col width="18" customWidth="1" min="3" max="3"/>
    <col width="24" customWidth="1" min="4" max="4"/>
    <col width="16" customWidth="1" min="5" max="5"/>
    <col width="45" customWidth="1" min="6" max="6"/>
    <col width="40" customWidth="1" min="7" max="7"/>
    <col width="32" customWidth="1" min="8" max="8"/>
    <col width="32" customWidth="1" min="9" max="9"/>
    <col width="32" customWidth="1" min="10" max="10"/>
    <col width="32" customWidth="1" min="11" max="11"/>
    <col width="38" customWidth="1" min="12" max="12"/>
    <col width="32" customWidth="1" min="13" max="13"/>
    <col width="8" customWidth="1" min="14" max="14"/>
    <col width="10" customWidth="1" min="15" max="15"/>
    <col width="14" customWidth="1" min="16" max="16"/>
    <col width="14" customWidth="1" min="17" max="17"/>
    <col width="12" customWidth="1" min="18" max="18"/>
    <col width="40" customWidth="1" min="19" max="19"/>
    <col width="28" customWidth="1" min="20" max="20"/>
  </cols>
  <sheetData>
    <row r="1">
      <c r="A1" s="1" t="inlineStr">
        <is>
          <t>Company Name</t>
        </is>
      </c>
      <c r="B1" s="1" t="inlineStr">
        <is>
          <t>Address</t>
        </is>
      </c>
      <c r="C1" s="1" t="inlineStr">
        <is>
          <t>County</t>
        </is>
      </c>
      <c r="D1" s="1" t="inlineStr">
        <is>
          <t>Category</t>
        </is>
      </c>
      <c r="E1" s="1" t="inlineStr">
        <is>
          <t>Phone</t>
        </is>
      </c>
      <c r="F1" s="1" t="inlineStr">
        <is>
          <t>Primary Contact</t>
        </is>
      </c>
      <c r="G1" s="1" t="inlineStr">
        <is>
          <t>Facebook</t>
        </is>
      </c>
      <c r="H1" s="1" t="inlineStr">
        <is>
          <t>Instagram</t>
        </is>
      </c>
      <c r="I1" s="1" t="inlineStr">
        <is>
          <t>LinkedIn</t>
        </is>
      </c>
      <c r="J1" s="1" t="inlineStr">
        <is>
          <t>Other Socials</t>
        </is>
      </c>
      <c r="K1" s="1" t="inlineStr">
        <is>
          <t>Website</t>
        </is>
      </c>
      <c r="L1" s="1" t="inlineStr">
        <is>
          <t>Email(s)</t>
        </is>
      </c>
      <c r="M1" s="1" t="inlineStr">
        <is>
          <t>Google Maps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Status</t>
        </is>
      </c>
      <c r="Q1" s="1" t="inlineStr">
        <is>
          <t>Outreach Sent?</t>
        </is>
      </c>
      <c r="R1" s="1" t="inlineStr">
        <is>
          <t>Response?</t>
        </is>
      </c>
      <c r="S1" s="1" t="inlineStr">
        <is>
          <t>Notes</t>
        </is>
      </c>
      <c r="T1" s="1" t="inlineStr">
        <is>
          <t>Enrichment Notes</t>
        </is>
      </c>
    </row>
    <row r="2">
      <c r="A2" s="2" t="inlineStr">
        <is>
          <t>Acme Excavation &amp; Site Work LLC</t>
        </is>
      </c>
      <c r="B2" s="2" t="inlineStr">
        <is>
          <t>123 Main St, Edison, NJ 08817, USA</t>
        </is>
      </c>
      <c r="C2" s="2" t="inlineStr">
        <is>
          <t>Middlesex County</t>
        </is>
      </c>
      <c r="D2" s="2" t="inlineStr">
        <is>
          <t>excavation contractor</t>
        </is>
      </c>
      <c r="E2" s="2" t="inlineStr">
        <is>
          <t>(732) 555-0100</t>
        </is>
      </c>
      <c r="F2" s="2" t="inlineStr">
        <is>
          <t>https://facebook.com/AcmeExcavationNJ</t>
        </is>
      </c>
      <c r="G2" s="2" t="inlineStr">
        <is>
          <t>https://facebook.com/AcmeExcavationNJ</t>
        </is>
      </c>
      <c r="H2" s="2" t="inlineStr">
        <is>
          <t>https://instagram.com/acme_excavation_nj</t>
        </is>
      </c>
      <c r="I2" s="2" t="inlineStr"/>
      <c r="J2" s="2" t="inlineStr"/>
      <c r="K2" s="2" t="inlineStr">
        <is>
          <t>https://acme-excavation.example.com</t>
        </is>
      </c>
      <c r="L2" s="2" t="inlineStr">
        <is>
          <t>info@acme-excavation.example.com
jim@acme-excavation.example.com</t>
        </is>
      </c>
      <c r="M2" s="2" t="inlineStr">
        <is>
          <t>https://www.google.com/maps/place/?q=place_id:SAMPLE_0001</t>
        </is>
      </c>
      <c r="N2" s="2" t="n">
        <v>4.7</v>
      </c>
      <c r="O2" s="2" t="n">
        <v>38</v>
      </c>
      <c r="P2" s="2" t="inlineStr">
        <is>
          <t>Open</t>
        </is>
      </c>
      <c r="Q2" s="2" t="inlineStr"/>
      <c r="R2" s="2" t="inlineStr"/>
      <c r="S2" s="2" t="inlineStr"/>
      <c r="T2" s="2" t="inlineStr">
        <is>
          <t>crawled 3 pages</t>
        </is>
      </c>
    </row>
    <row r="3">
      <c r="A3" s="2" t="inlineStr">
        <is>
          <t>Riverfront Paving &amp; Grading</t>
        </is>
      </c>
      <c r="B3" s="2" t="inlineStr">
        <is>
          <t>45 River Rd, Trenton, NJ 08611, USA</t>
        </is>
      </c>
      <c r="C3" s="2" t="inlineStr">
        <is>
          <t>Mercer County</t>
        </is>
      </c>
      <c r="D3" s="2" t="inlineStr">
        <is>
          <t>paving contractor</t>
        </is>
      </c>
      <c r="E3" s="2" t="inlineStr">
        <is>
          <t>(609) 555-0199</t>
        </is>
      </c>
      <c r="F3" s="2" t="inlineStr">
        <is>
          <t>https://facebook.com/riverfrontpaving</t>
        </is>
      </c>
      <c r="G3" s="2" t="inlineStr">
        <is>
          <t>https://facebook.com/riverfrontpaving</t>
        </is>
      </c>
      <c r="H3" s="2" t="inlineStr"/>
      <c r="I3" s="2" t="inlineStr">
        <is>
          <t>https://linkedin.com/company/riverfront-paving</t>
        </is>
      </c>
      <c r="J3" s="2" t="inlineStr"/>
      <c r="K3" s="2" t="inlineStr">
        <is>
          <t>https://riverfrontpaving.example.com</t>
        </is>
      </c>
      <c r="L3" s="2" t="inlineStr">
        <is>
          <t>contact@riverfrontpaving.example.com</t>
        </is>
      </c>
      <c r="M3" s="2" t="inlineStr">
        <is>
          <t>https://www.google.com/maps/place/?q=place_id:SAMPLE_0002</t>
        </is>
      </c>
      <c r="N3" s="2" t="n">
        <v>4.5</v>
      </c>
      <c r="O3" s="2" t="n">
        <v>22</v>
      </c>
      <c r="P3" s="2" t="inlineStr">
        <is>
          <t>Open</t>
        </is>
      </c>
      <c r="Q3" s="2" t="inlineStr"/>
      <c r="R3" s="2" t="inlineStr"/>
      <c r="S3" s="2" t="inlineStr"/>
      <c r="T3" s="2" t="inlineStr">
        <is>
          <t>crawled 2 pages</t>
        </is>
      </c>
    </row>
    <row r="4">
      <c r="A4" s="2" t="inlineStr">
        <is>
          <t>Shore Underground Utilities, Inc.</t>
        </is>
      </c>
      <c r="B4" s="2" t="inlineStr">
        <is>
          <t>800 Shore Rd, Long Branch, NJ 07740, USA</t>
        </is>
      </c>
      <c r="C4" s="2" t="inlineStr">
        <is>
          <t>Monmouth County</t>
        </is>
      </c>
      <c r="D4" s="2" t="inlineStr">
        <is>
          <t>underground utility contractor</t>
        </is>
      </c>
      <c r="E4" s="2" t="inlineStr">
        <is>
          <t>(732) 555-0177</t>
        </is>
      </c>
      <c r="F4" s="2" t="inlineStr">
        <is>
          <t>https://facebook.com/ShoreUnderground</t>
        </is>
      </c>
      <c r="G4" s="2" t="inlineStr">
        <is>
          <t>https://facebook.com/ShoreUnderground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https://www.google.com/maps/place/?q=place_id:SAMPLE_0003</t>
        </is>
      </c>
      <c r="N4" s="2" t="n">
        <v>4.9</v>
      </c>
      <c r="O4" s="2" t="n">
        <v>14</v>
      </c>
      <c r="P4" s="2" t="inlineStr">
        <is>
          <t>Open</t>
        </is>
      </c>
      <c r="Q4" s="2" t="inlineStr"/>
      <c r="R4" s="2" t="inlineStr"/>
      <c r="S4" s="2" t="inlineStr"/>
      <c r="T4" s="2" t="inlineStr">
        <is>
          <t>FB via DDG fallback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3" t="inlineStr">
        <is>
          <t>Central NJ Contractor Leads — Summary</t>
        </is>
      </c>
    </row>
    <row r="3">
      <c r="A3" t="inlineStr">
        <is>
          <t>Total leads</t>
        </is>
      </c>
      <c r="B3" t="n">
        <v>3</v>
      </c>
    </row>
    <row r="4">
      <c r="A4" t="inlineStr">
        <is>
          <t>With Facebook</t>
        </is>
      </c>
      <c r="B4">
        <f>COUNTIF(Leads!G:G,"&lt;&gt;")-1</f>
        <v/>
      </c>
    </row>
    <row r="5">
      <c r="A5" t="inlineStr">
        <is>
          <t>With Instagram</t>
        </is>
      </c>
      <c r="B5">
        <f>COUNTIF(Leads!H:H,"&lt;&gt;")-1</f>
        <v/>
      </c>
    </row>
    <row r="6">
      <c r="A6" t="inlineStr">
        <is>
          <t>With LinkedIn</t>
        </is>
      </c>
      <c r="B6">
        <f>COUNTIF(Leads!I:I,"&lt;&gt;")-1</f>
        <v/>
      </c>
    </row>
    <row r="7">
      <c r="A7" t="inlineStr">
        <is>
          <t>With Website</t>
        </is>
      </c>
      <c r="B7">
        <f>COUNTIF(Leads!K:K,"&lt;&gt;")-1</f>
        <v/>
      </c>
    </row>
    <row r="8">
      <c r="A8" t="inlineStr">
        <is>
          <t>With Email</t>
        </is>
      </c>
      <c r="B8">
        <f>COUNTIF(Leads!L:L,"&lt;&gt;")-1</f>
        <v/>
      </c>
    </row>
    <row r="10">
      <c r="A10" s="4" t="inlineStr">
        <is>
          <t>By County</t>
        </is>
      </c>
    </row>
    <row r="11">
      <c r="A11" t="inlineStr">
        <is>
          <t>Mercer County</t>
        </is>
      </c>
      <c r="B11" t="n">
        <v>1</v>
      </c>
    </row>
    <row r="12">
      <c r="A12" t="inlineStr">
        <is>
          <t>Middlesex County</t>
        </is>
      </c>
      <c r="B12" t="n">
        <v>1</v>
      </c>
    </row>
    <row r="13">
      <c r="A13" t="inlineStr">
        <is>
          <t>Monmouth County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2026-04-18T17:04:34Z</dcterms:created>
  <dcterms:modified xmlns:dcterms="http://purl.org/dc/terms/" xmlns:xsi="http://www.w3.org/2001/XMLSchema-instance" xsi:type="dcterms:W3CDTF">2026-04-18T17:04:34Z</dcterms:modified>
</cp:coreProperties>
</file>